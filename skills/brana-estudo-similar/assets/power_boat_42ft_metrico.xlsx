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Transicao_26\EEE\1_AULAS\3_SIMILARES\"/>
    </mc:Choice>
  </mc:AlternateContent>
  <xr:revisionPtr revIDLastSave="0" documentId="8_{7E34260A-E420-43C1-88E0-D4E8FB4204B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Métrico (SI)" sheetId="1" r:id="rId1"/>
    <sheet name="Imperial" sheetId="2" r:id="rId2"/>
    <sheet name="Fatores" sheetId="3" r:id="rId3"/>
  </sheets>
  <definedNames>
    <definedName name="_xlnm.Print_Titles" localSheetId="0">'Métrico (SI)'!$B:$D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3" l="1"/>
  <c r="L29" i="1"/>
  <c r="K29" i="1"/>
  <c r="J29" i="1"/>
  <c r="I29" i="1"/>
  <c r="H29" i="1"/>
  <c r="G29" i="1"/>
  <c r="F29" i="1"/>
  <c r="E29" i="1"/>
  <c r="L28" i="1"/>
  <c r="K28" i="1"/>
  <c r="J28" i="1"/>
  <c r="I28" i="1"/>
  <c r="H28" i="1"/>
  <c r="G28" i="1"/>
  <c r="F28" i="1"/>
  <c r="E28" i="1"/>
  <c r="L27" i="1"/>
  <c r="K27" i="1"/>
  <c r="J27" i="1"/>
  <c r="I27" i="1"/>
  <c r="H27" i="1"/>
  <c r="G27" i="1"/>
  <c r="F27" i="1"/>
  <c r="E27" i="1"/>
  <c r="L26" i="1"/>
  <c r="K26" i="1"/>
  <c r="J26" i="1"/>
  <c r="I26" i="1"/>
  <c r="H26" i="1"/>
  <c r="G26" i="1"/>
  <c r="F26" i="1"/>
  <c r="E26" i="1"/>
  <c r="L25" i="1"/>
  <c r="K25" i="1"/>
  <c r="J25" i="1"/>
  <c r="I25" i="1"/>
  <c r="H25" i="1"/>
  <c r="G25" i="1"/>
  <c r="F25" i="1"/>
  <c r="E25" i="1"/>
  <c r="L24" i="1"/>
  <c r="K24" i="1"/>
  <c r="J24" i="1"/>
  <c r="I24" i="1"/>
  <c r="H24" i="1"/>
  <c r="G24" i="1"/>
  <c r="F24" i="1"/>
  <c r="E24" i="1"/>
  <c r="L23" i="1"/>
  <c r="K23" i="1"/>
  <c r="J23" i="1"/>
  <c r="I23" i="1"/>
  <c r="H23" i="1"/>
  <c r="G23" i="1"/>
  <c r="F23" i="1"/>
  <c r="E23" i="1"/>
  <c r="L22" i="1"/>
  <c r="K22" i="1"/>
  <c r="J22" i="1"/>
  <c r="I22" i="1"/>
  <c r="H22" i="1"/>
  <c r="G22" i="1"/>
  <c r="F22" i="1"/>
  <c r="E22" i="1"/>
  <c r="L21" i="1"/>
  <c r="K21" i="1"/>
  <c r="J21" i="1"/>
  <c r="I21" i="1"/>
  <c r="H21" i="1"/>
  <c r="G21" i="1"/>
  <c r="F21" i="1"/>
  <c r="E21" i="1"/>
  <c r="L20" i="1"/>
  <c r="K20" i="1"/>
  <c r="J20" i="1"/>
  <c r="I20" i="1"/>
  <c r="H20" i="1"/>
  <c r="G20" i="1"/>
  <c r="F20" i="1"/>
  <c r="E20" i="1"/>
  <c r="L19" i="1"/>
  <c r="K19" i="1"/>
  <c r="J19" i="1"/>
  <c r="I19" i="1"/>
  <c r="H19" i="1"/>
  <c r="G19" i="1"/>
  <c r="F19" i="1"/>
  <c r="E19" i="1"/>
  <c r="L18" i="1"/>
  <c r="K18" i="1"/>
  <c r="J18" i="1"/>
  <c r="I18" i="1"/>
  <c r="H18" i="1"/>
  <c r="G18" i="1"/>
  <c r="F18" i="1"/>
  <c r="E18" i="1"/>
  <c r="L17" i="1"/>
  <c r="K17" i="1"/>
  <c r="J17" i="1"/>
  <c r="I17" i="1"/>
  <c r="H17" i="1"/>
  <c r="G17" i="1"/>
  <c r="F17" i="1"/>
  <c r="E17" i="1"/>
  <c r="L16" i="1"/>
  <c r="K16" i="1"/>
  <c r="J16" i="1"/>
  <c r="I16" i="1"/>
  <c r="H16" i="1"/>
  <c r="G16" i="1"/>
  <c r="F16" i="1"/>
  <c r="E16" i="1"/>
  <c r="L15" i="1"/>
  <c r="K15" i="1"/>
  <c r="J15" i="1"/>
  <c r="I15" i="1"/>
  <c r="H15" i="1"/>
  <c r="G15" i="1"/>
  <c r="F15" i="1"/>
  <c r="E15" i="1"/>
  <c r="L14" i="1"/>
  <c r="K14" i="1"/>
  <c r="J14" i="1"/>
  <c r="I14" i="1"/>
  <c r="H14" i="1"/>
  <c r="G14" i="1"/>
  <c r="F14" i="1"/>
  <c r="E14" i="1"/>
  <c r="L13" i="1"/>
  <c r="K13" i="1"/>
  <c r="J13" i="1"/>
  <c r="I13" i="1"/>
  <c r="H13" i="1"/>
  <c r="G13" i="1"/>
  <c r="F13" i="1"/>
  <c r="E13" i="1"/>
  <c r="L12" i="1"/>
  <c r="K12" i="1"/>
  <c r="J12" i="1"/>
  <c r="I12" i="1"/>
  <c r="H12" i="1"/>
  <c r="G12" i="1"/>
  <c r="F12" i="1"/>
  <c r="E12" i="1"/>
  <c r="L11" i="1"/>
  <c r="K11" i="1"/>
  <c r="J11" i="1"/>
  <c r="I11" i="1"/>
  <c r="H11" i="1"/>
  <c r="G11" i="1"/>
  <c r="F11" i="1"/>
  <c r="E11" i="1"/>
  <c r="L10" i="1"/>
  <c r="K10" i="1"/>
  <c r="J10" i="1"/>
  <c r="I10" i="1"/>
  <c r="H10" i="1"/>
  <c r="G10" i="1"/>
  <c r="F10" i="1"/>
  <c r="E10" i="1"/>
  <c r="L9" i="1"/>
  <c r="K9" i="1"/>
  <c r="J9" i="1"/>
  <c r="I9" i="1"/>
  <c r="H9" i="1"/>
  <c r="G9" i="1"/>
  <c r="F9" i="1"/>
  <c r="E9" i="1"/>
  <c r="L8" i="1"/>
  <c r="K8" i="1"/>
  <c r="J8" i="1"/>
  <c r="I8" i="1"/>
  <c r="H8" i="1"/>
  <c r="G8" i="1"/>
  <c r="F8" i="1"/>
  <c r="E8" i="1"/>
  <c r="L7" i="1"/>
  <c r="K7" i="1"/>
  <c r="J7" i="1"/>
  <c r="I7" i="1"/>
  <c r="H7" i="1"/>
  <c r="G7" i="1"/>
  <c r="F7" i="1"/>
  <c r="E7" i="1"/>
  <c r="L6" i="1"/>
  <c r="K6" i="1"/>
  <c r="J6" i="1"/>
  <c r="I6" i="1"/>
  <c r="H6" i="1"/>
  <c r="G6" i="1"/>
  <c r="F6" i="1"/>
  <c r="E6" i="1"/>
  <c r="L5" i="1"/>
  <c r="K5" i="1"/>
  <c r="J5" i="1"/>
  <c r="I5" i="1"/>
  <c r="H5" i="1"/>
  <c r="G5" i="1"/>
  <c r="F5" i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7" authorId="0" shapeId="0" xr:uid="{00000000-0006-0000-0000-000001000000}">
      <text>
        <r>
          <rPr>
            <sz val="10"/>
            <rFont val="Arial"/>
            <family val="2"/>
          </rPr>
          <t>Deslocamento/potência convertido de lb/hp para kg/kW (fator 0,608277).</t>
        </r>
      </text>
    </comment>
    <comment ref="E10" authorId="0" shapeId="0" xr:uid="{00000000-0006-0000-0000-000002000000}">
      <text>
        <r>
          <rPr>
            <sz val="10"/>
            <rFont val="Arial"/>
            <family val="2"/>
          </rPr>
          <t>DLR é a razão deslocamento-comprimento, coeficiente adimensional definido em unidades imperiais. Valor reproduzido do original sem conversão.</t>
        </r>
      </text>
    </comment>
  </commentList>
</comments>
</file>

<file path=xl/sharedStrings.xml><?xml version="1.0" encoding="utf-8"?>
<sst xmlns="http://schemas.openxmlformats.org/spreadsheetml/2006/main" count="172" uniqueCount="117">
  <si>
    <t>Comparativo de powerboats ~42 pés — dimensões no sistema métrico (SI)</t>
  </si>
  <si>
    <t>Valores calculados por fórmula a partir da aba "Imperial" (dados originais preservados). Fatores de conversão na aba "Fatores".</t>
  </si>
  <si>
    <t>Parâmetro (PT)</t>
  </si>
  <si>
    <t>Parameter (EN)</t>
  </si>
  <si>
    <t>Unidade</t>
  </si>
  <si>
    <t>Formula 400 Super Sport</t>
  </si>
  <si>
    <t>Hunton XRS43</t>
  </si>
  <si>
    <t>Magnum 44</t>
  </si>
  <si>
    <t>Riverama Super</t>
  </si>
  <si>
    <t>Baia One 43</t>
  </si>
  <si>
    <t>C+N Endeavour 42</t>
  </si>
  <si>
    <t>Regal 42 Sport Coupe</t>
  </si>
  <si>
    <t>Austin Parker 42-sport</t>
  </si>
  <si>
    <t>LOA/BOA</t>
  </si>
  <si>
    <t>-</t>
  </si>
  <si>
    <t>Razão deslocamento-comprimento (DLR)</t>
  </si>
  <si>
    <t>DLR</t>
  </si>
  <si>
    <t>Deslocamento / Potência</t>
  </si>
  <si>
    <t>DISP./HP</t>
  </si>
  <si>
    <t>kg/kW</t>
  </si>
  <si>
    <t>Comprimento total (LOA)</t>
  </si>
  <si>
    <t>LOA (ft)</t>
  </si>
  <si>
    <t>m</t>
  </si>
  <si>
    <t>Comprimento na linha d'água (LWL)</t>
  </si>
  <si>
    <t>LWL (ft)</t>
  </si>
  <si>
    <t>Deslocamento</t>
  </si>
  <si>
    <t>Displ. (lbs)</t>
  </si>
  <si>
    <t>kg</t>
  </si>
  <si>
    <t>Boca máxima (BOA)</t>
  </si>
  <si>
    <t>BOA (ft)</t>
  </si>
  <si>
    <t>Calado</t>
  </si>
  <si>
    <t>Draft (ft)</t>
  </si>
  <si>
    <t>Ângulo de V do fundo (deadrise)</t>
  </si>
  <si>
    <t>Deadrise (deg)</t>
  </si>
  <si>
    <t>graus</t>
  </si>
  <si>
    <t>Altura livre interna (pé-direito)</t>
  </si>
  <si>
    <t>Head Room (ft)</t>
  </si>
  <si>
    <t>Combustível</t>
  </si>
  <si>
    <t>Fuel (GAL)</t>
  </si>
  <si>
    <t>L</t>
  </si>
  <si>
    <t>Água doce</t>
  </si>
  <si>
    <t>Water (GAL)</t>
  </si>
  <si>
    <t>Tanque de dejetos (águas negras)</t>
  </si>
  <si>
    <t>Holding Tank (GAL)</t>
  </si>
  <si>
    <t>Potência instalada</t>
  </si>
  <si>
    <t>HP</t>
  </si>
  <si>
    <t>kW</t>
  </si>
  <si>
    <t>Motorização</t>
  </si>
  <si>
    <t>Engine</t>
  </si>
  <si>
    <t>texto</t>
  </si>
  <si>
    <t>Motorização (detalhe)</t>
  </si>
  <si>
    <t>Engine (cont.)</t>
  </si>
  <si>
    <t>Velocidade máxima</t>
  </si>
  <si>
    <t>Max Speed (MPH)</t>
  </si>
  <si>
    <t>kn</t>
  </si>
  <si>
    <t>Velocidade de cruzeiro</t>
  </si>
  <si>
    <t>Cruise Speed (MPH)</t>
  </si>
  <si>
    <t>Autonomia</t>
  </si>
  <si>
    <t>Range (NM)</t>
  </si>
  <si>
    <t>NM</t>
  </si>
  <si>
    <t>Borda livre à proa (FF)</t>
  </si>
  <si>
    <t>FF (ft)</t>
  </si>
  <si>
    <t>Borda livre a meia-nau (FM)</t>
  </si>
  <si>
    <t>FM (ft)</t>
  </si>
  <si>
    <t>Altura do para-brisa</t>
  </si>
  <si>
    <t>Windshild Height (ft)</t>
  </si>
  <si>
    <t>Altura máxima do deck na linha de centro</t>
  </si>
  <si>
    <t>Deck @CL Max Height</t>
  </si>
  <si>
    <t>Plataforma de banho: topo até a linha d'água</t>
  </si>
  <si>
    <t>Swim Plat. Top to WL (ft)</t>
  </si>
  <si>
    <t>Altura do balaústre (corrimão)</t>
  </si>
  <si>
    <t>Rail Height (ft)</t>
  </si>
  <si>
    <t>Nota: a coluna "Parameter (EN)" reproduz o rótulo original da planilha, inclusive a grafia de origem (ex.: "Windshild"). Células vazias indicam dado não informado na fonte.</t>
  </si>
  <si>
    <t>Parameter</t>
  </si>
  <si>
    <t>(2) Mercury Racing 520 Bravo Three XR w/Axius</t>
  </si>
  <si>
    <t>(2) 560HP FPT WITH ARNESON SURFACE DRIVES</t>
  </si>
  <si>
    <t>(2) 800 HP</t>
  </si>
  <si>
    <t>(2) R6-800</t>
  </si>
  <si>
    <t>(2) D6-370 Volvo Penta</t>
  </si>
  <si>
    <t>2 x Volvo Penta IPS 500</t>
  </si>
  <si>
    <t xml:space="preserve">2 x 300-hp Volvo Penta IPS400 </t>
  </si>
  <si>
    <t>2 x Volvo Penta 435</t>
  </si>
  <si>
    <t>370 hp @ 3500 rpm</t>
  </si>
  <si>
    <t>Fatores de conversão utilizados</t>
  </si>
  <si>
    <t>Grandeza</t>
  </si>
  <si>
    <t>De</t>
  </si>
  <si>
    <t>Para</t>
  </si>
  <si>
    <t>Fator</t>
  </si>
  <si>
    <t>Observação</t>
  </si>
  <si>
    <t>Comprimento</t>
  </si>
  <si>
    <t>ft</t>
  </si>
  <si>
    <t>Exato (definição internacional do pé)</t>
  </si>
  <si>
    <t>Massa / peso</t>
  </si>
  <si>
    <t>lb</t>
  </si>
  <si>
    <t>Exato (libra avoirdupois)</t>
  </si>
  <si>
    <t>Volume</t>
  </si>
  <si>
    <t>US gal</t>
  </si>
  <si>
    <t>Galão americano (escolha do usuário)</t>
  </si>
  <si>
    <t>Potência</t>
  </si>
  <si>
    <t>hp</t>
  </si>
  <si>
    <t>Horsepower mecanico (550 ft.lbf/s)</t>
  </si>
  <si>
    <t>Velocidade</t>
  </si>
  <si>
    <t>mph</t>
  </si>
  <si>
    <t>Milha terrestre/h para nó (1 kn = 1,852 km/h)</t>
  </si>
  <si>
    <t>Densidade de massa</t>
  </si>
  <si>
    <t>lb/hp</t>
  </si>
  <si>
    <t>Derivado: fator lb→kg dividido por fator hp→kW</t>
  </si>
  <si>
    <t>Não convertidos (permanecem no original)</t>
  </si>
  <si>
    <t>Razão LOA/BOA</t>
  </si>
  <si>
    <t>Adimensional.</t>
  </si>
  <si>
    <t>Coeficiente adimensional definido em unidades imperiais (desloc. em long tons / (0,01 × LWL_ft)³). Recalcular em SI mudaria a definição.</t>
  </si>
  <si>
    <t>Deadrise</t>
  </si>
  <si>
    <t>Ângulo em graus — unidade comum aos dois sistemas.</t>
  </si>
  <si>
    <t>Autonomia (NM)</t>
  </si>
  <si>
    <t>Milha náutica mantida por escolha do usuário (1 NM = 1,852 km).</t>
  </si>
  <si>
    <t>Texto original preservado — designações comerciais dos motores (ex.: "800 HP") são nomes de modelo.</t>
  </si>
  <si>
    <t>Comprimento total (L) / Boca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</si>
</sst>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"/>
  </numFmts>
  <fonts count="12" x14ac:knownFonts="1">
    <font>
      <sz val="11"/>
      <color theme="1"/>
      <name val="Aptos Narrow"/>
      <family val="2"/>
      <charset val="1"/>
    </font>
    <font>
      <b/>
      <sz val="13"/>
      <name val="Calibri"/>
      <charset val="1"/>
    </font>
    <font>
      <i/>
      <sz val="9"/>
      <color rgb="FF595959"/>
      <name val="Calibri"/>
      <charset val="1"/>
    </font>
    <font>
      <b/>
      <sz val="10"/>
      <color rgb="FFFFFFFF"/>
      <name val="Calibri"/>
      <charset val="1"/>
    </font>
    <font>
      <b/>
      <sz val="10"/>
      <name val="Calibri"/>
      <charset val="1"/>
    </font>
    <font>
      <sz val="9"/>
      <color rgb="FF595959"/>
      <name val="Calibri"/>
      <charset val="1"/>
    </font>
    <font>
      <b/>
      <sz val="9"/>
      <name val="Calibri"/>
      <charset val="1"/>
    </font>
    <font>
      <sz val="10"/>
      <name val="Calibri"/>
      <charset val="1"/>
    </font>
    <font>
      <sz val="10"/>
      <name val="Arial"/>
      <family val="2"/>
    </font>
    <font>
      <sz val="12"/>
      <color rgb="FFF6CFA0"/>
      <name val="Calibri"/>
      <charset val="1"/>
    </font>
    <font>
      <sz val="8"/>
      <color rgb="FF000000"/>
      <name val="Calibri"/>
      <charset val="1"/>
    </font>
    <font>
      <b/>
      <sz val="12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9EDF4"/>
        <bgColor rgb="FFF2F2F2"/>
      </patternFill>
    </fill>
    <fill>
      <patternFill patternType="solid">
        <fgColor rgb="FFF2F2F2"/>
        <bgColor rgb="FFE9EDF4"/>
      </patternFill>
    </fill>
    <fill>
      <patternFill patternType="solid">
        <fgColor rgb="FF231A23"/>
        <bgColor rgb="FF3333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0" fillId="3" borderId="3" xfId="0" applyFont="1" applyFill="1" applyBorder="1" applyAlignment="1">
      <alignment horizontal="center" wrapText="1" readingOrder="1"/>
    </xf>
    <xf numFmtId="0" fontId="9" fillId="5" borderId="3" xfId="0" applyFont="1" applyFill="1" applyBorder="1" applyAlignment="1">
      <alignment horizontal="center" wrapText="1" readingOrder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5" fillId="0" borderId="0" xfId="0" applyFont="1"/>
    <xf numFmtId="0" fontId="6" fillId="4" borderId="0" xfId="0" applyFont="1" applyFill="1" applyAlignment="1">
      <alignment horizontal="center"/>
    </xf>
    <xf numFmtId="2" fontId="7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left" vertical="center" wrapText="1"/>
    </xf>
    <xf numFmtId="164" fontId="7" fillId="0" borderId="2" xfId="0" applyNumberFormat="1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wrapText="1" readingOrder="1"/>
    </xf>
    <xf numFmtId="0" fontId="10" fillId="3" borderId="4" xfId="0" applyFont="1" applyFill="1" applyBorder="1" applyAlignment="1">
      <alignment horizontal="center" wrapText="1" readingOrder="1"/>
    </xf>
    <xf numFmtId="0" fontId="10" fillId="3" borderId="5" xfId="0" applyFont="1" applyFill="1" applyBorder="1" applyAlignment="1">
      <alignment horizontal="center" wrapText="1" readingOrder="1"/>
    </xf>
    <xf numFmtId="0" fontId="11" fillId="0" borderId="0" xfId="0" applyFont="1"/>
    <xf numFmtId="0" fontId="7" fillId="0" borderId="0" xfId="0" applyFont="1"/>
    <xf numFmtId="0" fontId="4" fillId="0" borderId="0" xfId="0" applyFont="1"/>
    <xf numFmtId="165" fontId="7" fillId="0" borderId="0" xfId="0" applyNumberFormat="1" applyFont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CFA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31A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31"/>
  <sheetViews>
    <sheetView tabSelected="1" zoomScaleNormal="100" workbookViewId="0">
      <pane ySplit="4" topLeftCell="A5" activePane="bottomLeft" state="frozen"/>
      <selection activeCell="C37" sqref="C37"/>
      <selection pane="bottomLeft" activeCell="B12" sqref="B12"/>
    </sheetView>
  </sheetViews>
  <sheetFormatPr defaultColWidth="8.5703125" defaultRowHeight="15" x14ac:dyDescent="0.25"/>
  <cols>
    <col min="2" max="2" width="42" customWidth="1"/>
    <col min="3" max="3" width="22" customWidth="1"/>
    <col min="4" max="4" width="9" customWidth="1"/>
    <col min="5" max="12" width="15" customWidth="1"/>
  </cols>
  <sheetData>
    <row r="1" spans="2:12" ht="17.25" x14ac:dyDescent="0.3">
      <c r="B1" s="3" t="s">
        <v>0</v>
      </c>
    </row>
    <row r="2" spans="2:12" x14ac:dyDescent="0.25">
      <c r="B2" s="4" t="s">
        <v>1</v>
      </c>
    </row>
    <row r="4" spans="2:12" ht="33.75" customHeight="1" x14ac:dyDescent="0.25"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</row>
    <row r="5" spans="2:12" x14ac:dyDescent="0.25">
      <c r="B5" s="6" t="s">
        <v>116</v>
      </c>
      <c r="C5" s="7" t="s">
        <v>13</v>
      </c>
      <c r="D5" s="8" t="s">
        <v>14</v>
      </c>
      <c r="E5" s="9">
        <f>IF(Imperial!C5="","",Imperial!C5)</f>
        <v>3.77</v>
      </c>
      <c r="F5" s="9">
        <f>IF(Imperial!D5="","",Imperial!D5)</f>
        <v>3.98</v>
      </c>
      <c r="G5" s="9">
        <f>IF(Imperial!E5="","",Imperial!E5)</f>
        <v>3.58</v>
      </c>
      <c r="H5" s="9">
        <f>IF(Imperial!F5="","",Imperial!F5)</f>
        <v>3.47</v>
      </c>
      <c r="I5" s="9">
        <f>IF(Imperial!G5="","",Imperial!G5)</f>
        <v>2.89</v>
      </c>
      <c r="J5" s="9">
        <f>IF(Imperial!H5="","",Imperial!H5)</f>
        <v>3.4</v>
      </c>
      <c r="K5" s="9">
        <f>IF(Imperial!I5="","",Imperial!I5)</f>
        <v>3.26</v>
      </c>
      <c r="L5" s="9">
        <f>IF(Imperial!J5="","",Imperial!J5)</f>
        <v>3.16</v>
      </c>
    </row>
    <row r="6" spans="2:12" x14ac:dyDescent="0.25">
      <c r="B6" s="6" t="s">
        <v>15</v>
      </c>
      <c r="C6" s="7" t="s">
        <v>16</v>
      </c>
      <c r="D6" s="8" t="s">
        <v>14</v>
      </c>
      <c r="E6" s="10">
        <f>IF(Imperial!C6="","",Imperial!C6)</f>
        <v>204</v>
      </c>
      <c r="F6" s="10">
        <f>IF(Imperial!D6="","",Imperial!D6)</f>
        <v>224</v>
      </c>
      <c r="G6" s="10">
        <f>IF(Imperial!E6="","",Imperial!E6)</f>
        <v>248</v>
      </c>
      <c r="H6" s="10">
        <f>IF(Imperial!F6="","",Imperial!F6)</f>
        <v>317</v>
      </c>
      <c r="I6" s="10">
        <f>IF(Imperial!G6="","",Imperial!G6)</f>
        <v>276</v>
      </c>
      <c r="J6" s="10">
        <f>IF(Imperial!H6="","",Imperial!H6)</f>
        <v>184</v>
      </c>
      <c r="K6" s="10">
        <f>IF(Imperial!I6="","",Imperial!I6)</f>
        <v>323</v>
      </c>
      <c r="L6" s="10">
        <f>IF(Imperial!J6="","",Imperial!J6)</f>
        <v>309</v>
      </c>
    </row>
    <row r="7" spans="2:12" x14ac:dyDescent="0.25">
      <c r="B7" s="6" t="s">
        <v>17</v>
      </c>
      <c r="C7" s="7" t="s">
        <v>18</v>
      </c>
      <c r="D7" s="8" t="s">
        <v>19</v>
      </c>
      <c r="E7" s="9">
        <f>IF(Imperial!C7="","",Imperial!C7*Fatores!$E$10)</f>
        <v>9.9757491550166186</v>
      </c>
      <c r="F7" s="9">
        <f>IF(Imperial!D7="","",Imperial!D7*Fatores!$E$10)</f>
        <v>10.158232371266923</v>
      </c>
      <c r="G7" s="9">
        <f>IF(Imperial!E7="","",Imperial!E7*Fatores!$E$10)</f>
        <v>12.530514182520875</v>
      </c>
      <c r="H7" s="9">
        <f>IF(Imperial!F7="","",Imperial!F7*Fatores!$E$10)</f>
        <v>13.017136092521685</v>
      </c>
      <c r="I7" s="9">
        <f>IF(Imperial!G7="","",Imperial!G7*Fatores!$E$10)</f>
        <v>22.080469166286782</v>
      </c>
      <c r="J7" s="9">
        <f>IF(Imperial!H7="","",Imperial!H7*Fatores!$E$10)</f>
        <v>14.477001822524118</v>
      </c>
      <c r="K7" s="9">
        <f>IF(Imperial!I7="","",Imperial!I7*Fatores!$E$10)</f>
        <v>10.40154332626733</v>
      </c>
      <c r="L7" s="9">
        <f>IF(Imperial!J7="","",Imperial!J7*Fatores!$E$10)</f>
        <v>19.039082228781719</v>
      </c>
    </row>
    <row r="8" spans="2:12" x14ac:dyDescent="0.25">
      <c r="B8" s="6" t="s">
        <v>20</v>
      </c>
      <c r="C8" s="7" t="s">
        <v>21</v>
      </c>
      <c r="D8" s="8" t="s">
        <v>22</v>
      </c>
      <c r="E8" s="9">
        <f>IF(Imperial!C8="","",Imperial!C8*Fatores!$E$5)</f>
        <v>12.6492</v>
      </c>
      <c r="F8" s="9">
        <f>IF(Imperial!D8="","",Imperial!D8*Fatores!$E$5)</f>
        <v>13.136880000000001</v>
      </c>
      <c r="G8" s="9">
        <f>IF(Imperial!E8="","",Imperial!E8*Fatores!$E$5)</f>
        <v>13.411200000000001</v>
      </c>
      <c r="H8" s="9">
        <f>IF(Imperial!F8="","",Imperial!F8*Fatores!$E$5)</f>
        <v>13.38072</v>
      </c>
      <c r="I8" s="9">
        <f>IF(Imperial!G8="","",Imperial!G8*Fatores!$E$5)</f>
        <v>13.319760000000002</v>
      </c>
      <c r="J8" s="9">
        <f>IF(Imperial!H8="","",Imperial!H8*Fatores!$E$5)</f>
        <v>12.893039999999999</v>
      </c>
      <c r="K8" s="9">
        <f>IF(Imperial!I8="","",Imperial!I8*Fatores!$E$5)</f>
        <v>12.893039999999999</v>
      </c>
      <c r="L8" s="9">
        <f>IF(Imperial!J8="","",Imperial!J8*Fatores!$E$5)</f>
        <v>12.4968</v>
      </c>
    </row>
    <row r="9" spans="2:12" x14ac:dyDescent="0.25">
      <c r="B9" s="6" t="s">
        <v>23</v>
      </c>
      <c r="C9" s="7" t="s">
        <v>24</v>
      </c>
      <c r="D9" s="8" t="s">
        <v>22</v>
      </c>
      <c r="E9" s="9">
        <f>IF(Imperial!C9="","",Imperial!C9*Fatores!$E$5)</f>
        <v>10.18032</v>
      </c>
      <c r="F9" s="9">
        <f>IF(Imperial!D9="","",Imperial!D9*Fatores!$E$5)</f>
        <v>10.210800000000001</v>
      </c>
      <c r="G9" s="9">
        <f>IF(Imperial!E9="","",Imperial!E9*Fatores!$E$5)</f>
        <v>11.8872</v>
      </c>
      <c r="H9" s="9">
        <f>IF(Imperial!F9="","",Imperial!F9*Fatores!$E$5)</f>
        <v>11.094720000000001</v>
      </c>
      <c r="I9" s="9">
        <f>IF(Imperial!G9="","",Imperial!G9*Fatores!$E$5)</f>
        <v>10.728960000000001</v>
      </c>
      <c r="J9" s="9">
        <f>IF(Imperial!H9="","",Imperial!H9*Fatores!$E$5)</f>
        <v>11.795760000000001</v>
      </c>
      <c r="K9" s="9">
        <f>IF(Imperial!I9="","",Imperial!I9*Fatores!$E$5)</f>
        <v>9.2964000000000002</v>
      </c>
      <c r="L9" s="9">
        <f>IF(Imperial!J9="","",Imperial!J9*Fatores!$E$5)</f>
        <v>10.698480000000002</v>
      </c>
    </row>
    <row r="10" spans="2:12" x14ac:dyDescent="0.25">
      <c r="B10" s="6" t="s">
        <v>25</v>
      </c>
      <c r="C10" s="7" t="s">
        <v>26</v>
      </c>
      <c r="D10" s="8" t="s">
        <v>27</v>
      </c>
      <c r="E10" s="11">
        <f>IF(Imperial!C10="","",Imperial!C10*Fatores!$E$6)</f>
        <v>7756.4295270000002</v>
      </c>
      <c r="F10" s="11">
        <f>IF(Imperial!D10="","",Imperial!D10*Fatores!$E$6)</f>
        <v>8499.8674214300008</v>
      </c>
      <c r="G10" s="11">
        <f>IF(Imperial!E10="","",Imperial!E10*Fatores!$E$6)</f>
        <v>14968.548210000001</v>
      </c>
      <c r="H10" s="11">
        <f>IF(Imperial!F10="","",Imperial!F10*Fatores!$E$6)</f>
        <v>15539.621003830001</v>
      </c>
      <c r="I10" s="11">
        <f>IF(Imperial!G10="","",Imperial!G10*Fatores!$E$6)</f>
        <v>12192.5629056</v>
      </c>
      <c r="J10" s="11">
        <f>IF(Imperial!H10="","",Imperial!H10*Fatores!$E$6)</f>
        <v>10795.498406000001</v>
      </c>
      <c r="K10" s="11">
        <f>IF(Imperial!I10="","",Imperial!I10*Fatores!$E$6)</f>
        <v>9298.6435849999998</v>
      </c>
      <c r="L10" s="11">
        <f>IF(Imperial!J10="","",Imperial!J10*Fatores!$E$6)</f>
        <v>13607.7711</v>
      </c>
    </row>
    <row r="11" spans="2:12" x14ac:dyDescent="0.25">
      <c r="B11" s="6" t="s">
        <v>28</v>
      </c>
      <c r="C11" s="7" t="s">
        <v>29</v>
      </c>
      <c r="D11" s="8" t="s">
        <v>22</v>
      </c>
      <c r="E11" s="9">
        <f>IF(Imperial!C11="","",Imperial!C11*Fatores!$E$5)</f>
        <v>3.3528000000000002</v>
      </c>
      <c r="F11" s="9">
        <f>IF(Imperial!D11="","",Imperial!D11*Fatores!$E$5)</f>
        <v>3.2918400000000005</v>
      </c>
      <c r="G11" s="9">
        <f>IF(Imperial!E11="","",Imperial!E11*Fatores!$E$5)</f>
        <v>3.7490400000000004</v>
      </c>
      <c r="H11" s="9">
        <f>IF(Imperial!F11="","",Imperial!F11*Fatores!$E$5)</f>
        <v>3.8709600000000002</v>
      </c>
      <c r="I11" s="9">
        <f>IF(Imperial!G11="","",Imperial!G11*Fatores!$E$5)</f>
        <v>4.6024799999999999</v>
      </c>
      <c r="J11" s="9">
        <f>IF(Imperial!H11="","",Imperial!H11*Fatores!$E$5)</f>
        <v>3.7795200000000002</v>
      </c>
      <c r="K11" s="9">
        <f>IF(Imperial!I11="","",Imperial!I11*Fatores!$E$5)</f>
        <v>3.9624000000000001</v>
      </c>
      <c r="L11" s="9">
        <f>IF(Imperial!J11="","",Imperial!J11*Fatores!$E$5)</f>
        <v>3.9624000000000001</v>
      </c>
    </row>
    <row r="12" spans="2:12" x14ac:dyDescent="0.25">
      <c r="B12" s="6" t="s">
        <v>30</v>
      </c>
      <c r="C12" s="7" t="s">
        <v>31</v>
      </c>
      <c r="D12" s="8" t="s">
        <v>22</v>
      </c>
      <c r="E12" s="9">
        <f>IF(Imperial!C12="","",Imperial!C12*Fatores!$E$5)</f>
        <v>0.9144000000000001</v>
      </c>
      <c r="F12" s="9">
        <f>IF(Imperial!D12="","",Imperial!D12*Fatores!$E$5)</f>
        <v>0.99060000000000004</v>
      </c>
      <c r="G12" s="9">
        <f>IF(Imperial!E12="","",Imperial!E12*Fatores!$E$5)</f>
        <v>1.0668</v>
      </c>
      <c r="H12" s="9">
        <f>IF(Imperial!F12="","",Imperial!F12*Fatores!$E$5)</f>
        <v>1.0149840000000001</v>
      </c>
      <c r="I12" s="9">
        <f>IF(Imperial!G12="","",Imperial!G12*Fatores!$E$5)</f>
        <v>0.71018400000000004</v>
      </c>
      <c r="J12" s="9">
        <f>IF(Imperial!H12="","",Imperial!H12*Fatores!$E$5)</f>
        <v>0.93878400000000006</v>
      </c>
      <c r="K12" s="9">
        <f>IF(Imperial!I12="","",Imperial!I12*Fatores!$E$5)</f>
        <v>1.042416</v>
      </c>
      <c r="L12" s="9" t="str">
        <f>IF(Imperial!J12="","",Imperial!J12*Fatores!$E$5)</f>
        <v/>
      </c>
    </row>
    <row r="13" spans="2:12" x14ac:dyDescent="0.25">
      <c r="B13" s="6" t="s">
        <v>32</v>
      </c>
      <c r="C13" s="7" t="s">
        <v>33</v>
      </c>
      <c r="D13" s="8" t="s">
        <v>34</v>
      </c>
      <c r="E13" s="10">
        <f>IF(Imperial!C13="","",Imperial!C13)</f>
        <v>22</v>
      </c>
      <c r="F13" s="10">
        <f>IF(Imperial!D13="","",Imperial!D13)</f>
        <v>13</v>
      </c>
      <c r="G13" s="10" t="str">
        <f>IF(Imperial!E13="","",Imperial!E13)</f>
        <v/>
      </c>
      <c r="H13" s="10" t="str">
        <f>IF(Imperial!F13="","",Imperial!F13)</f>
        <v/>
      </c>
      <c r="I13" s="10" t="str">
        <f>IF(Imperial!G13="","",Imperial!G13)</f>
        <v/>
      </c>
      <c r="J13" s="10" t="str">
        <f>IF(Imperial!H13="","",Imperial!H13)</f>
        <v/>
      </c>
      <c r="K13" s="10">
        <f>IF(Imperial!I13="","",Imperial!I13)</f>
        <v>18</v>
      </c>
      <c r="L13" s="10" t="str">
        <f>IF(Imperial!J13="","",Imperial!J13)</f>
        <v/>
      </c>
    </row>
    <row r="14" spans="2:12" x14ac:dyDescent="0.25">
      <c r="B14" s="6" t="s">
        <v>35</v>
      </c>
      <c r="C14" s="7" t="s">
        <v>36</v>
      </c>
      <c r="D14" s="8" t="s">
        <v>22</v>
      </c>
      <c r="E14" s="9">
        <f>IF(Imperial!C14="","",Imperial!C14*Fatores!$E$5)</f>
        <v>1.8806160000000001</v>
      </c>
      <c r="F14" s="9" t="str">
        <f>IF(Imperial!D14="","",Imperial!D14*Fatores!$E$5)</f>
        <v/>
      </c>
      <c r="G14" s="9" t="str">
        <f>IF(Imperial!E14="","",Imperial!E14*Fatores!$E$5)</f>
        <v/>
      </c>
      <c r="H14" s="9" t="str">
        <f>IF(Imperial!F14="","",Imperial!F14*Fatores!$E$5)</f>
        <v/>
      </c>
      <c r="I14" s="9" t="str">
        <f>IF(Imperial!G14="","",Imperial!G14*Fatores!$E$5)</f>
        <v/>
      </c>
      <c r="J14" s="9" t="str">
        <f>IF(Imperial!H14="","",Imperial!H14*Fatores!$E$5)</f>
        <v/>
      </c>
      <c r="K14" s="9" t="str">
        <f>IF(Imperial!I14="","",Imperial!I14*Fatores!$E$5)</f>
        <v/>
      </c>
      <c r="L14" s="9" t="str">
        <f>IF(Imperial!J14="","",Imperial!J14*Fatores!$E$5)</f>
        <v/>
      </c>
    </row>
    <row r="15" spans="2:12" x14ac:dyDescent="0.25">
      <c r="B15" s="6" t="s">
        <v>37</v>
      </c>
      <c r="C15" s="7" t="s">
        <v>38</v>
      </c>
      <c r="D15" s="8" t="s">
        <v>39</v>
      </c>
      <c r="E15" s="11">
        <f>IF(Imperial!C15="","",Imperial!C15*Fatores!$E$7)</f>
        <v>946.35294599999997</v>
      </c>
      <c r="F15" s="11">
        <f>IF(Imperial!D15="","",Imperial!D15*Fatores!$E$7)</f>
        <v>760.86776858400003</v>
      </c>
      <c r="G15" s="11">
        <f>IF(Imperial!E15="","",Imperial!E15*Fatores!$E$7)</f>
        <v>1514.1647135999999</v>
      </c>
      <c r="H15" s="11">
        <f>IF(Imperial!F15="","",Imperial!F15*Fatores!$E$7)</f>
        <v>1328.679536184</v>
      </c>
      <c r="I15" s="11">
        <f>IF(Imperial!G15="","",Imperial!G15*Fatores!$E$7)</f>
        <v>1468.7397721919999</v>
      </c>
      <c r="J15" s="11">
        <f>IF(Imperial!H15="","",Imperial!H15*Fatores!$E$7)</f>
        <v>1449.8127132719999</v>
      </c>
      <c r="K15" s="11" t="str">
        <f>IF(Imperial!I15="","",Imperial!I15*Fatores!$E$7)</f>
        <v/>
      </c>
      <c r="L15" s="11" t="str">
        <f>IF(Imperial!J15="","",Imperial!J15*Fatores!$E$7)</f>
        <v/>
      </c>
    </row>
    <row r="16" spans="2:12" x14ac:dyDescent="0.25">
      <c r="B16" s="6" t="s">
        <v>40</v>
      </c>
      <c r="C16" s="7" t="s">
        <v>41</v>
      </c>
      <c r="D16" s="8" t="s">
        <v>39</v>
      </c>
      <c r="E16" s="11">
        <f>IF(Imperial!C16="","",Imperial!C16*Fatores!$E$7)</f>
        <v>189.27058919999999</v>
      </c>
      <c r="F16" s="11">
        <f>IF(Imperial!D16="","",Imperial!D16*Fatores!$E$7)</f>
        <v>189.27058919999999</v>
      </c>
      <c r="G16" s="11">
        <f>IF(Imperial!E16="","",Imperial!E16*Fatores!$E$7)</f>
        <v>283.90588379999997</v>
      </c>
      <c r="H16" s="11">
        <f>IF(Imperial!F16="","",Imperial!F16*Fatores!$E$7)</f>
        <v>200.62682455199999</v>
      </c>
      <c r="I16" s="11">
        <f>IF(Imperial!G16="","",Imperial!G16*Fatores!$E$7)</f>
        <v>348.257884128</v>
      </c>
      <c r="J16" s="11">
        <f>IF(Imperial!H16="","",Imperial!H16*Fatores!$E$7)</f>
        <v>299.04753093599999</v>
      </c>
      <c r="K16" s="11" t="str">
        <f>IF(Imperial!I16="","",Imperial!I16*Fatores!$E$7)</f>
        <v/>
      </c>
      <c r="L16" s="11" t="str">
        <f>IF(Imperial!J16="","",Imperial!J16*Fatores!$E$7)</f>
        <v/>
      </c>
    </row>
    <row r="17" spans="2:12" x14ac:dyDescent="0.25">
      <c r="B17" s="6" t="s">
        <v>42</v>
      </c>
      <c r="C17" s="7" t="s">
        <v>43</v>
      </c>
      <c r="D17" s="8" t="s">
        <v>39</v>
      </c>
      <c r="E17" s="11">
        <f>IF(Imperial!C17="","",Imperial!C17*Fatores!$E$7)</f>
        <v>189.27058919999999</v>
      </c>
      <c r="F17" s="11" t="str">
        <f>IF(Imperial!D17="","",Imperial!D17*Fatores!$E$7)</f>
        <v/>
      </c>
      <c r="G17" s="11" t="str">
        <f>IF(Imperial!E17="","",Imperial!E17*Fatores!$E$7)</f>
        <v/>
      </c>
      <c r="H17" s="11" t="str">
        <f>IF(Imperial!F17="","",Imperial!F17*Fatores!$E$7)</f>
        <v/>
      </c>
      <c r="I17" s="11" t="str">
        <f>IF(Imperial!G17="","",Imperial!G17*Fatores!$E$7)</f>
        <v/>
      </c>
      <c r="J17" s="11" t="str">
        <f>IF(Imperial!H17="","",Imperial!H17*Fatores!$E$7)</f>
        <v/>
      </c>
      <c r="K17" s="11" t="str">
        <f>IF(Imperial!I17="","",Imperial!I17*Fatores!$E$7)</f>
        <v/>
      </c>
      <c r="L17" s="11" t="str">
        <f>IF(Imperial!J17="","",Imperial!J17*Fatores!$E$7)</f>
        <v/>
      </c>
    </row>
    <row r="18" spans="2:12" x14ac:dyDescent="0.25">
      <c r="B18" s="6" t="s">
        <v>44</v>
      </c>
      <c r="C18" s="7" t="s">
        <v>45</v>
      </c>
      <c r="D18" s="8" t="s">
        <v>46</v>
      </c>
      <c r="E18" s="11">
        <f>IF(Imperial!C18="","",Imperial!C18*Fatores!$E$8)</f>
        <v>775.52786688000003</v>
      </c>
      <c r="F18" s="11">
        <f>IF(Imperial!D18="","",Imperial!D18*Fatores!$E$8)</f>
        <v>835.18385663999993</v>
      </c>
      <c r="G18" s="11">
        <f>IF(Imperial!E18="","",Imperial!E18*Fatores!$E$8)</f>
        <v>1193.1197952</v>
      </c>
      <c r="H18" s="11">
        <f>IF(Imperial!F18="","",Imperial!F18*Fatores!$E$8)</f>
        <v>1193.1197952</v>
      </c>
      <c r="I18" s="11">
        <f>IF(Imperial!G18="","",Imperial!G18*Fatores!$E$8)</f>
        <v>551.81790527999999</v>
      </c>
      <c r="J18" s="11">
        <f>IF(Imperial!H18="","",Imperial!H18*Fatores!$E$8)</f>
        <v>745.69987200000003</v>
      </c>
      <c r="K18" s="11">
        <f>IF(Imperial!I18="","",Imperial!I18*Fatores!$E$8)</f>
        <v>894.83984639999994</v>
      </c>
      <c r="L18" s="11">
        <f>IF(Imperial!J18="","",Imperial!J18*Fatores!$E$8)</f>
        <v>715.87187712000002</v>
      </c>
    </row>
    <row r="19" spans="2:12" ht="30" customHeight="1" x14ac:dyDescent="0.25">
      <c r="B19" s="6" t="s">
        <v>47</v>
      </c>
      <c r="C19" s="7" t="s">
        <v>48</v>
      </c>
      <c r="D19" s="8" t="s">
        <v>49</v>
      </c>
      <c r="E19" s="12" t="str">
        <f>IF(Imperial!C19="","",Imperial!C19)</f>
        <v>(2) Mercury Racing 520 Bravo Three XR w/Axius</v>
      </c>
      <c r="F19" s="12" t="str">
        <f>IF(Imperial!D19="","",Imperial!D19)</f>
        <v>(2) 560HP FPT WITH ARNESON SURFACE DRIVES</v>
      </c>
      <c r="G19" s="12" t="str">
        <f>IF(Imperial!E19="","",Imperial!E19)</f>
        <v>(2) 800 HP</v>
      </c>
      <c r="H19" s="12" t="str">
        <f>IF(Imperial!F19="","",Imperial!F19)</f>
        <v>(2) R6-800</v>
      </c>
      <c r="I19" s="12" t="str">
        <f>IF(Imperial!G19="","",Imperial!G19)</f>
        <v>(2) D6-370 Volvo Penta</v>
      </c>
      <c r="J19" s="12" t="str">
        <f>IF(Imperial!H19="","",Imperial!H19)</f>
        <v>2 x Volvo Penta IPS 500</v>
      </c>
      <c r="K19" s="12" t="str">
        <f>IF(Imperial!I19="","",Imperial!I19)</f>
        <v xml:space="preserve">2 x 300-hp Volvo Penta IPS400 </v>
      </c>
      <c r="L19" s="12" t="str">
        <f>IF(Imperial!J19="","",Imperial!J19)</f>
        <v>2 x Volvo Penta 435</v>
      </c>
    </row>
    <row r="20" spans="2:12" ht="30" customHeight="1" x14ac:dyDescent="0.25">
      <c r="B20" s="6" t="s">
        <v>50</v>
      </c>
      <c r="C20" s="7" t="s">
        <v>51</v>
      </c>
      <c r="D20" s="8" t="s">
        <v>49</v>
      </c>
      <c r="E20" s="12" t="str">
        <f>IF(Imperial!C20="","",Imperial!C20)</f>
        <v/>
      </c>
      <c r="F20" s="12" t="str">
        <f>IF(Imperial!D20="","",Imperial!D20)</f>
        <v/>
      </c>
      <c r="G20" s="12" t="str">
        <f>IF(Imperial!E20="","",Imperial!E20)</f>
        <v/>
      </c>
      <c r="H20" s="12" t="str">
        <f>IF(Imperial!F20="","",Imperial!F20)</f>
        <v/>
      </c>
      <c r="I20" s="12" t="str">
        <f>IF(Imperial!G20="","",Imperial!G20)</f>
        <v/>
      </c>
      <c r="J20" s="12" t="str">
        <f>IF(Imperial!H20="","",Imperial!H20)</f>
        <v>370 hp @ 3500 rpm</v>
      </c>
      <c r="K20" s="12" t="str">
        <f>IF(Imperial!I20="","",Imperial!I20)</f>
        <v/>
      </c>
      <c r="L20" s="12" t="str">
        <f>IF(Imperial!J20="","",Imperial!J20)</f>
        <v/>
      </c>
    </row>
    <row r="21" spans="2:12" x14ac:dyDescent="0.25">
      <c r="B21" s="6" t="s">
        <v>52</v>
      </c>
      <c r="C21" s="7" t="s">
        <v>53</v>
      </c>
      <c r="D21" s="8" t="s">
        <v>54</v>
      </c>
      <c r="E21" s="13">
        <f>IF(Imperial!C21="","",Imperial!C21*Fatores!$E$9)</f>
        <v>41.015678622400003</v>
      </c>
      <c r="F21" s="13">
        <f>IF(Imperial!D21="","",Imperial!D21*Fatores!$E$9)</f>
        <v>45.186764584000002</v>
      </c>
      <c r="G21" s="13">
        <f>IF(Imperial!E21="","",Imperial!E21*Fatores!$E$9)</f>
        <v>47.793693310000002</v>
      </c>
      <c r="H21" s="13">
        <f>IF(Imperial!F21="","",Imperial!F21*Fatores!$E$9)</f>
        <v>35.628025921999999</v>
      </c>
      <c r="I21" s="13" t="str">
        <f>IF(Imperial!G21="","",Imperial!G21*Fatores!$E$9)</f>
        <v/>
      </c>
      <c r="J21" s="13">
        <f>IF(Imperial!H21="","",Imperial!H21*Fatores!$E$9)</f>
        <v>31.283144712000002</v>
      </c>
      <c r="K21" s="13">
        <f>IF(Imperial!I21="","",Imperial!I21*Fatores!$E$9)</f>
        <v>32.325916202400002</v>
      </c>
      <c r="L21" s="13">
        <f>IF(Imperial!J21="","",Imperial!J21*Fatores!$E$9)</f>
        <v>28.241727865000001</v>
      </c>
    </row>
    <row r="22" spans="2:12" x14ac:dyDescent="0.25">
      <c r="B22" s="6" t="s">
        <v>55</v>
      </c>
      <c r="C22" s="7" t="s">
        <v>56</v>
      </c>
      <c r="D22" s="8" t="s">
        <v>54</v>
      </c>
      <c r="E22" s="13">
        <f>IF(Imperial!C22="","",Imperial!C22*Fatores!$E$9)</f>
        <v>25.0265157696</v>
      </c>
      <c r="F22" s="13">
        <f>IF(Imperial!D22="","",Imperial!D22*Fatores!$E$9)</f>
        <v>26.069287259999999</v>
      </c>
      <c r="G22" s="13" t="str">
        <f>IF(Imperial!E22="","",Imperial!E22*Fatores!$E$9)</f>
        <v/>
      </c>
      <c r="H22" s="13">
        <f>IF(Imperial!F22="","",Imperial!F22*Fatores!$E$9)</f>
        <v>31.283144712000002</v>
      </c>
      <c r="I22" s="13" t="str">
        <f>IF(Imperial!G22="","",Imperial!G22*Fatores!$E$9)</f>
        <v/>
      </c>
      <c r="J22" s="13">
        <f>IF(Imperial!H22="","",Imperial!H22*Fatores!$E$9)</f>
        <v>27.807239744</v>
      </c>
      <c r="K22" s="13">
        <f>IF(Imperial!I22="","",Imperial!I22*Fatores!$E$9)</f>
        <v>25.808594387399999</v>
      </c>
      <c r="L22" s="13">
        <f>IF(Imperial!J22="","",Imperial!J22*Fatores!$E$9)</f>
        <v>24.331334775999998</v>
      </c>
    </row>
    <row r="23" spans="2:12" x14ac:dyDescent="0.25">
      <c r="B23" s="6" t="s">
        <v>57</v>
      </c>
      <c r="C23" s="7" t="s">
        <v>58</v>
      </c>
      <c r="D23" s="8" t="s">
        <v>59</v>
      </c>
      <c r="E23" s="11">
        <f>IF(Imperial!C23="","",Imperial!C23)</f>
        <v>341</v>
      </c>
      <c r="F23" s="11">
        <f>IF(Imperial!D23="","",Imperial!D23)</f>
        <v>275</v>
      </c>
      <c r="G23" s="11" t="str">
        <f>IF(Imperial!E23="","",Imperial!E23)</f>
        <v/>
      </c>
      <c r="H23" s="11">
        <f>IF(Imperial!F23="","",Imperial!F23)</f>
        <v>200</v>
      </c>
      <c r="I23" s="11" t="str">
        <f>IF(Imperial!G23="","",Imperial!G23)</f>
        <v/>
      </c>
      <c r="J23" s="11" t="str">
        <f>IF(Imperial!H23="","",Imperial!H23)</f>
        <v/>
      </c>
      <c r="K23" s="11">
        <f>IF(Imperial!I23="","",Imperial!I23)</f>
        <v>352</v>
      </c>
      <c r="L23" s="11">
        <f>IF(Imperial!J23="","",Imperial!J23)</f>
        <v>350</v>
      </c>
    </row>
    <row r="24" spans="2:12" x14ac:dyDescent="0.25">
      <c r="B24" s="6" t="s">
        <v>60</v>
      </c>
      <c r="C24" s="7" t="s">
        <v>61</v>
      </c>
      <c r="D24" s="8" t="s">
        <v>22</v>
      </c>
      <c r="E24" s="9">
        <f>IF(Imperial!C24="","",Imperial!C24*Fatores!$E$5)</f>
        <v>1.3045440000000001</v>
      </c>
      <c r="F24" s="9">
        <f>IF(Imperial!D24="","",Imperial!D24*Fatores!$E$5)</f>
        <v>1.4691360000000002</v>
      </c>
      <c r="G24" s="9">
        <f>IF(Imperial!E24="","",Imperial!E24*Fatores!$E$5)</f>
        <v>1.222248</v>
      </c>
      <c r="H24" s="9">
        <f>IF(Imperial!F24="","",Imperial!F24*Fatores!$E$5)</f>
        <v>1.2496799999999999</v>
      </c>
      <c r="I24" s="9">
        <f>IF(Imperial!G24="","",Imperial!G24*Fatores!$E$5)</f>
        <v>1.243584</v>
      </c>
      <c r="J24" s="9" t="str">
        <f>IF(Imperial!H24="","",Imperial!H24*Fatores!$E$5)</f>
        <v/>
      </c>
      <c r="K24" s="9" t="str">
        <f>IF(Imperial!I24="","",Imperial!I24*Fatores!$E$5)</f>
        <v/>
      </c>
      <c r="L24" s="9" t="str">
        <f>IF(Imperial!J24="","",Imperial!J24*Fatores!$E$5)</f>
        <v/>
      </c>
    </row>
    <row r="25" spans="2:12" x14ac:dyDescent="0.25">
      <c r="B25" s="6" t="s">
        <v>62</v>
      </c>
      <c r="C25" s="7" t="s">
        <v>63</v>
      </c>
      <c r="D25" s="8" t="s">
        <v>22</v>
      </c>
      <c r="E25" s="9">
        <f>IF(Imperial!C25="","",Imperial!C25*Fatores!$E$5)</f>
        <v>1.3045440000000001</v>
      </c>
      <c r="F25" s="9">
        <f>IF(Imperial!D25="","",Imperial!D25*Fatores!$E$5)</f>
        <v>0.97840800000000006</v>
      </c>
      <c r="G25" s="9" t="str">
        <f>IF(Imperial!E25="","",Imperial!E25*Fatores!$E$5)</f>
        <v/>
      </c>
      <c r="H25" s="9">
        <f>IF(Imperial!F25="","",Imperial!F25*Fatores!$E$5)</f>
        <v>1.1826240000000001</v>
      </c>
      <c r="I25" s="9">
        <f>IF(Imperial!G25="","",Imperial!G25*Fatores!$E$5)</f>
        <v>1.3075920000000001</v>
      </c>
      <c r="J25" s="9" t="str">
        <f>IF(Imperial!H25="","",Imperial!H25*Fatores!$E$5)</f>
        <v/>
      </c>
      <c r="K25" s="9" t="str">
        <f>IF(Imperial!I25="","",Imperial!I25*Fatores!$E$5)</f>
        <v/>
      </c>
      <c r="L25" s="9" t="str">
        <f>IF(Imperial!J25="","",Imperial!J25*Fatores!$E$5)</f>
        <v/>
      </c>
    </row>
    <row r="26" spans="2:12" x14ac:dyDescent="0.25">
      <c r="B26" s="6" t="s">
        <v>64</v>
      </c>
      <c r="C26" s="7" t="s">
        <v>65</v>
      </c>
      <c r="D26" s="8" t="s">
        <v>22</v>
      </c>
      <c r="E26" s="9">
        <f>IF(Imperial!C26="","",Imperial!C26*Fatores!$E$5)</f>
        <v>2.1610320000000001</v>
      </c>
      <c r="F26" s="9">
        <f>IF(Imperial!D26="","",Imperial!D26*Fatores!$E$5)</f>
        <v>2.2098</v>
      </c>
      <c r="G26" s="9">
        <f>IF(Imperial!E26="","",Imperial!E26*Fatores!$E$5)</f>
        <v>1.9415760000000002</v>
      </c>
      <c r="H26" s="9">
        <f>IF(Imperial!F26="","",Imperial!F26*Fatores!$E$5)</f>
        <v>2.2128480000000001</v>
      </c>
      <c r="I26" s="9">
        <f>IF(Imperial!G26="","",Imperial!G26*Fatores!$E$5)</f>
        <v>2.4262079999999999</v>
      </c>
      <c r="J26" s="9" t="str">
        <f>IF(Imperial!H26="","",Imperial!H26*Fatores!$E$5)</f>
        <v/>
      </c>
      <c r="K26" s="9" t="str">
        <f>IF(Imperial!I26="","",Imperial!I26*Fatores!$E$5)</f>
        <v/>
      </c>
      <c r="L26" s="9" t="str">
        <f>IF(Imperial!J26="","",Imperial!J26*Fatores!$E$5)</f>
        <v/>
      </c>
    </row>
    <row r="27" spans="2:12" x14ac:dyDescent="0.25">
      <c r="B27" s="6" t="s">
        <v>66</v>
      </c>
      <c r="C27" s="7" t="s">
        <v>67</v>
      </c>
      <c r="D27" s="8" t="s">
        <v>22</v>
      </c>
      <c r="E27" s="9">
        <f>IF(Imperial!C27="","",Imperial!C27*Fatores!$E$5)</f>
        <v>1.6764000000000001</v>
      </c>
      <c r="F27" s="9">
        <f>IF(Imperial!D27="","",Imperial!D27*Fatores!$E$5)</f>
        <v>1.8013680000000001</v>
      </c>
      <c r="G27" s="9">
        <f>IF(Imperial!E27="","",Imperial!E27*Fatores!$E$5)</f>
        <v>1.5331440000000001</v>
      </c>
      <c r="H27" s="9">
        <f>IF(Imperial!F27="","",Imperial!F27*Fatores!$E$5)</f>
        <v>1.7312639999999999</v>
      </c>
      <c r="I27" s="9">
        <f>IF(Imperial!G27="","",Imperial!G27*Fatores!$E$5)</f>
        <v>1.7800320000000001</v>
      </c>
      <c r="J27" s="9" t="str">
        <f>IF(Imperial!H27="","",Imperial!H27*Fatores!$E$5)</f>
        <v/>
      </c>
      <c r="K27" s="9" t="str">
        <f>IF(Imperial!I27="","",Imperial!I27*Fatores!$E$5)</f>
        <v/>
      </c>
      <c r="L27" s="9" t="str">
        <f>IF(Imperial!J27="","",Imperial!J27*Fatores!$E$5)</f>
        <v/>
      </c>
    </row>
    <row r="28" spans="2:12" x14ac:dyDescent="0.25">
      <c r="B28" s="6" t="s">
        <v>68</v>
      </c>
      <c r="C28" s="7" t="s">
        <v>69</v>
      </c>
      <c r="D28" s="8" t="s">
        <v>22</v>
      </c>
      <c r="E28" s="9">
        <f>IF(Imperial!C28="","",Imperial!C28*Fatores!$E$5)</f>
        <v>0.48768000000000006</v>
      </c>
      <c r="F28" s="9">
        <f>IF(Imperial!D28="","",Imperial!D28*Fatores!$E$5)</f>
        <v>0.33528000000000002</v>
      </c>
      <c r="G28" s="9" t="str">
        <f>IF(Imperial!E28="","",Imperial!E28*Fatores!$E$5)</f>
        <v/>
      </c>
      <c r="H28" s="9">
        <f>IF(Imperial!F28="","",Imperial!F28*Fatores!$E$5)</f>
        <v>0.41148000000000007</v>
      </c>
      <c r="I28" s="9">
        <f>IF(Imperial!G28="","",Imperial!G28*Fatores!$E$5)</f>
        <v>0.26822400000000002</v>
      </c>
      <c r="J28" s="9" t="str">
        <f>IF(Imperial!H28="","",Imperial!H28*Fatores!$E$5)</f>
        <v/>
      </c>
      <c r="K28" s="9" t="str">
        <f>IF(Imperial!I28="","",Imperial!I28*Fatores!$E$5)</f>
        <v/>
      </c>
      <c r="L28" s="9" t="str">
        <f>IF(Imperial!J28="","",Imperial!J28*Fatores!$E$5)</f>
        <v/>
      </c>
    </row>
    <row r="29" spans="2:12" x14ac:dyDescent="0.25">
      <c r="B29" s="6" t="s">
        <v>70</v>
      </c>
      <c r="C29" s="7" t="s">
        <v>71</v>
      </c>
      <c r="D29" s="8" t="s">
        <v>22</v>
      </c>
      <c r="E29" s="9">
        <f>IF(Imperial!C29="","",Imperial!C29*Fatores!$E$5)</f>
        <v>1.792224</v>
      </c>
      <c r="F29" s="9">
        <f>IF(Imperial!D29="","",Imperial!D29*Fatores!$E$5)</f>
        <v>1.9568160000000001</v>
      </c>
      <c r="G29" s="9" t="str">
        <f>IF(Imperial!E29="","",Imperial!E29*Fatores!$E$5)</f>
        <v/>
      </c>
      <c r="H29" s="9" t="str">
        <f>IF(Imperial!F29="","",Imperial!F29*Fatores!$E$5)</f>
        <v/>
      </c>
      <c r="I29" s="9">
        <f>IF(Imperial!G29="","",Imperial!G29*Fatores!$E$5)</f>
        <v>1.8409920000000002</v>
      </c>
      <c r="J29" s="9" t="str">
        <f>IF(Imperial!H29="","",Imperial!H29*Fatores!$E$5)</f>
        <v/>
      </c>
      <c r="K29" s="9" t="str">
        <f>IF(Imperial!I29="","",Imperial!I29*Fatores!$E$5)</f>
        <v/>
      </c>
      <c r="L29" s="9" t="str">
        <f>IF(Imperial!J29="","",Imperial!J29*Fatores!$E$5)</f>
        <v/>
      </c>
    </row>
    <row r="31" spans="2:12" x14ac:dyDescent="0.25">
      <c r="B31" s="4" t="s">
        <v>72</v>
      </c>
    </row>
  </sheetData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J29"/>
  <sheetViews>
    <sheetView zoomScaleNormal="100" workbookViewId="0">
      <selection activeCell="C37" sqref="C37"/>
    </sheetView>
  </sheetViews>
  <sheetFormatPr defaultColWidth="12.85546875" defaultRowHeight="15" x14ac:dyDescent="0.25"/>
  <cols>
    <col min="2" max="2" width="12.5703125" customWidth="1"/>
  </cols>
  <sheetData>
    <row r="2" spans="2:10" ht="15.75" customHeight="1" x14ac:dyDescent="0.25"/>
    <row r="3" spans="2:10" ht="15" customHeight="1" x14ac:dyDescent="0.25">
      <c r="B3" s="2" t="s">
        <v>73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</row>
    <row r="4" spans="2:10" ht="15.75" customHeight="1" x14ac:dyDescent="0.25">
      <c r="B4" s="2"/>
      <c r="C4" s="2"/>
      <c r="D4" s="2"/>
      <c r="E4" s="2"/>
      <c r="F4" s="2"/>
      <c r="G4" s="2"/>
      <c r="H4" s="2"/>
      <c r="I4" s="2"/>
      <c r="J4" s="2"/>
    </row>
    <row r="5" spans="2:10" ht="15.75" customHeight="1" x14ac:dyDescent="0.25">
      <c r="B5" s="14" t="s">
        <v>13</v>
      </c>
      <c r="C5" s="14">
        <v>3.77</v>
      </c>
      <c r="D5" s="14">
        <v>3.98</v>
      </c>
      <c r="E5" s="14">
        <v>3.58</v>
      </c>
      <c r="F5" s="14">
        <v>3.47</v>
      </c>
      <c r="G5" s="14">
        <v>2.89</v>
      </c>
      <c r="H5" s="14">
        <v>3.4</v>
      </c>
      <c r="I5" s="14">
        <v>3.26</v>
      </c>
      <c r="J5" s="14">
        <v>3.16</v>
      </c>
    </row>
    <row r="6" spans="2:10" ht="15.75" customHeight="1" x14ac:dyDescent="0.25">
      <c r="B6" s="14" t="s">
        <v>16</v>
      </c>
      <c r="C6" s="14">
        <v>204</v>
      </c>
      <c r="D6" s="14">
        <v>224</v>
      </c>
      <c r="E6" s="14">
        <v>248</v>
      </c>
      <c r="F6" s="14">
        <v>317</v>
      </c>
      <c r="G6" s="14">
        <v>276</v>
      </c>
      <c r="H6" s="14">
        <v>184</v>
      </c>
      <c r="I6" s="14">
        <v>323</v>
      </c>
      <c r="J6" s="14">
        <v>309</v>
      </c>
    </row>
    <row r="7" spans="2:10" ht="15.75" customHeight="1" x14ac:dyDescent="0.25">
      <c r="B7" s="14" t="s">
        <v>18</v>
      </c>
      <c r="C7" s="14">
        <v>16.399999999999999</v>
      </c>
      <c r="D7" s="14">
        <v>16.7</v>
      </c>
      <c r="E7" s="14">
        <v>20.6</v>
      </c>
      <c r="F7" s="14">
        <v>21.4</v>
      </c>
      <c r="G7" s="14">
        <v>36.299999999999997</v>
      </c>
      <c r="H7" s="14">
        <v>23.8</v>
      </c>
      <c r="I7" s="14">
        <v>17.100000000000001</v>
      </c>
      <c r="J7" s="14">
        <v>31.3</v>
      </c>
    </row>
    <row r="8" spans="2:10" ht="15.75" customHeight="1" x14ac:dyDescent="0.25">
      <c r="B8" s="14" t="s">
        <v>21</v>
      </c>
      <c r="C8" s="14">
        <v>41.5</v>
      </c>
      <c r="D8" s="14">
        <v>43.1</v>
      </c>
      <c r="E8" s="14">
        <v>44</v>
      </c>
      <c r="F8" s="14">
        <v>43.9</v>
      </c>
      <c r="G8" s="14">
        <v>43.7</v>
      </c>
      <c r="H8" s="14">
        <v>42.3</v>
      </c>
      <c r="I8" s="14">
        <v>42.3</v>
      </c>
      <c r="J8" s="14">
        <v>41</v>
      </c>
    </row>
    <row r="9" spans="2:10" ht="15.75" customHeight="1" x14ac:dyDescent="0.25">
      <c r="B9" s="14" t="s">
        <v>24</v>
      </c>
      <c r="C9" s="14">
        <v>33.4</v>
      </c>
      <c r="D9" s="14">
        <v>33.5</v>
      </c>
      <c r="E9" s="14">
        <v>39</v>
      </c>
      <c r="F9" s="14">
        <v>36.4</v>
      </c>
      <c r="G9" s="14">
        <v>35.200000000000003</v>
      </c>
      <c r="H9" s="14">
        <v>38.700000000000003</v>
      </c>
      <c r="I9" s="14">
        <v>30.5</v>
      </c>
      <c r="J9" s="14">
        <v>35.1</v>
      </c>
    </row>
    <row r="10" spans="2:10" ht="15.75" customHeight="1" x14ac:dyDescent="0.25">
      <c r="B10" s="14" t="s">
        <v>26</v>
      </c>
      <c r="C10" s="14">
        <v>17100</v>
      </c>
      <c r="D10" s="14">
        <v>18739</v>
      </c>
      <c r="E10" s="14">
        <v>33000</v>
      </c>
      <c r="F10" s="14">
        <v>34259</v>
      </c>
      <c r="G10" s="14">
        <v>26880</v>
      </c>
      <c r="H10" s="14">
        <v>23800</v>
      </c>
      <c r="I10" s="14">
        <v>20500</v>
      </c>
      <c r="J10" s="14">
        <v>30000</v>
      </c>
    </row>
    <row r="11" spans="2:10" ht="15.75" customHeight="1" x14ac:dyDescent="0.25">
      <c r="B11" s="14" t="s">
        <v>29</v>
      </c>
      <c r="C11" s="14">
        <v>11</v>
      </c>
      <c r="D11" s="14">
        <v>10.8</v>
      </c>
      <c r="E11" s="14">
        <v>12.3</v>
      </c>
      <c r="F11" s="14">
        <v>12.7</v>
      </c>
      <c r="G11" s="14">
        <v>15.1</v>
      </c>
      <c r="H11" s="14">
        <v>12.4</v>
      </c>
      <c r="I11" s="14">
        <v>13</v>
      </c>
      <c r="J11" s="14">
        <v>13</v>
      </c>
    </row>
    <row r="12" spans="2:10" ht="15.75" customHeight="1" x14ac:dyDescent="0.25">
      <c r="B12" s="14" t="s">
        <v>31</v>
      </c>
      <c r="C12" s="14">
        <v>3</v>
      </c>
      <c r="D12" s="14">
        <v>3.25</v>
      </c>
      <c r="E12" s="14">
        <v>3.5</v>
      </c>
      <c r="F12" s="14">
        <v>3.33</v>
      </c>
      <c r="G12" s="14">
        <v>2.33</v>
      </c>
      <c r="H12" s="14">
        <v>3.08</v>
      </c>
      <c r="I12" s="14">
        <v>3.42</v>
      </c>
      <c r="J12" s="14"/>
    </row>
    <row r="13" spans="2:10" ht="15.75" customHeight="1" x14ac:dyDescent="0.25">
      <c r="B13" s="14" t="s">
        <v>33</v>
      </c>
      <c r="C13" s="14">
        <v>22</v>
      </c>
      <c r="D13" s="14">
        <v>13</v>
      </c>
      <c r="E13" s="14"/>
      <c r="F13" s="14"/>
      <c r="G13" s="14"/>
      <c r="H13" s="14"/>
      <c r="I13" s="14">
        <v>18</v>
      </c>
      <c r="J13" s="14"/>
    </row>
    <row r="14" spans="2:10" ht="15.75" customHeight="1" x14ac:dyDescent="0.25">
      <c r="B14" s="14" t="s">
        <v>36</v>
      </c>
      <c r="C14" s="14">
        <v>6.17</v>
      </c>
      <c r="D14" s="14"/>
      <c r="E14" s="14"/>
      <c r="F14" s="14"/>
      <c r="G14" s="14"/>
      <c r="H14" s="14"/>
      <c r="I14" s="14"/>
      <c r="J14" s="14"/>
    </row>
    <row r="15" spans="2:10" ht="15.75" customHeight="1" x14ac:dyDescent="0.25">
      <c r="B15" s="14" t="s">
        <v>38</v>
      </c>
      <c r="C15" s="14">
        <v>250</v>
      </c>
      <c r="D15" s="14">
        <v>201</v>
      </c>
      <c r="E15" s="14">
        <v>400</v>
      </c>
      <c r="F15" s="14">
        <v>351</v>
      </c>
      <c r="G15" s="14">
        <v>388</v>
      </c>
      <c r="H15" s="14">
        <v>383</v>
      </c>
      <c r="I15" s="14"/>
      <c r="J15" s="14"/>
    </row>
    <row r="16" spans="2:10" ht="15.75" customHeight="1" x14ac:dyDescent="0.25">
      <c r="B16" s="14" t="s">
        <v>41</v>
      </c>
      <c r="C16" s="14">
        <v>50</v>
      </c>
      <c r="D16" s="14">
        <v>50</v>
      </c>
      <c r="E16" s="14">
        <v>75</v>
      </c>
      <c r="F16" s="14">
        <v>53</v>
      </c>
      <c r="G16" s="14">
        <v>92</v>
      </c>
      <c r="H16" s="14">
        <v>79</v>
      </c>
      <c r="I16" s="14"/>
      <c r="J16" s="14"/>
    </row>
    <row r="17" spans="2:10" ht="24" customHeight="1" x14ac:dyDescent="0.25">
      <c r="B17" s="14" t="s">
        <v>43</v>
      </c>
      <c r="C17" s="14">
        <v>50</v>
      </c>
      <c r="D17" s="14"/>
      <c r="E17" s="14"/>
      <c r="F17" s="14"/>
      <c r="G17" s="14"/>
      <c r="H17" s="14"/>
      <c r="I17" s="14"/>
      <c r="J17" s="14"/>
    </row>
    <row r="18" spans="2:10" ht="15.75" customHeight="1" x14ac:dyDescent="0.25">
      <c r="B18" s="14" t="s">
        <v>45</v>
      </c>
      <c r="C18" s="14">
        <v>1040</v>
      </c>
      <c r="D18" s="14">
        <v>1120</v>
      </c>
      <c r="E18" s="14">
        <v>1600</v>
      </c>
      <c r="F18" s="14">
        <v>1600</v>
      </c>
      <c r="G18" s="14">
        <v>740</v>
      </c>
      <c r="H18" s="14">
        <v>1000</v>
      </c>
      <c r="I18" s="14">
        <v>1200</v>
      </c>
      <c r="J18" s="14">
        <v>960</v>
      </c>
    </row>
    <row r="19" spans="2:10" ht="23.25" customHeight="1" x14ac:dyDescent="0.25">
      <c r="B19" s="1" t="s">
        <v>48</v>
      </c>
      <c r="C19" s="1" t="s">
        <v>74</v>
      </c>
      <c r="D19" s="1" t="s">
        <v>75</v>
      </c>
      <c r="E19" s="1" t="s">
        <v>76</v>
      </c>
      <c r="F19" s="1" t="s">
        <v>77</v>
      </c>
      <c r="G19" s="1" t="s">
        <v>78</v>
      </c>
      <c r="H19" s="15" t="s">
        <v>79</v>
      </c>
      <c r="I19" s="1" t="s">
        <v>80</v>
      </c>
      <c r="J19" s="1" t="s">
        <v>81</v>
      </c>
    </row>
    <row r="20" spans="2:10" ht="24" customHeight="1" x14ac:dyDescent="0.25">
      <c r="B20" s="1"/>
      <c r="C20" s="1"/>
      <c r="D20" s="1"/>
      <c r="E20" s="1"/>
      <c r="F20" s="1"/>
      <c r="G20" s="1"/>
      <c r="H20" s="16" t="s">
        <v>82</v>
      </c>
      <c r="I20" s="1"/>
      <c r="J20" s="1"/>
    </row>
    <row r="21" spans="2:10" ht="15.75" customHeight="1" x14ac:dyDescent="0.25">
      <c r="B21" s="14" t="s">
        <v>53</v>
      </c>
      <c r="C21" s="14">
        <v>47.2</v>
      </c>
      <c r="D21" s="14">
        <v>52</v>
      </c>
      <c r="E21" s="14">
        <v>55</v>
      </c>
      <c r="F21" s="14">
        <v>41</v>
      </c>
      <c r="G21" s="14"/>
      <c r="H21" s="14">
        <v>36</v>
      </c>
      <c r="I21" s="14">
        <v>37.200000000000003</v>
      </c>
      <c r="J21" s="14">
        <v>32.5</v>
      </c>
    </row>
    <row r="22" spans="2:10" ht="24" customHeight="1" x14ac:dyDescent="0.25">
      <c r="B22" s="14" t="s">
        <v>56</v>
      </c>
      <c r="C22" s="14">
        <v>28.8</v>
      </c>
      <c r="D22" s="14">
        <v>30</v>
      </c>
      <c r="E22" s="14"/>
      <c r="F22" s="14">
        <v>36</v>
      </c>
      <c r="G22" s="14"/>
      <c r="H22" s="14">
        <v>32</v>
      </c>
      <c r="I22" s="14">
        <v>29.7</v>
      </c>
      <c r="J22" s="14">
        <v>28</v>
      </c>
    </row>
    <row r="23" spans="2:10" ht="15.75" customHeight="1" x14ac:dyDescent="0.25">
      <c r="B23" s="14" t="s">
        <v>58</v>
      </c>
      <c r="C23" s="14">
        <v>341</v>
      </c>
      <c r="D23" s="14">
        <v>275</v>
      </c>
      <c r="E23" s="14"/>
      <c r="F23" s="14">
        <v>200</v>
      </c>
      <c r="G23" s="14"/>
      <c r="H23" s="14"/>
      <c r="I23" s="14">
        <v>352</v>
      </c>
      <c r="J23" s="14">
        <v>350</v>
      </c>
    </row>
    <row r="24" spans="2:10" ht="15.75" customHeight="1" x14ac:dyDescent="0.25">
      <c r="B24" s="14" t="s">
        <v>61</v>
      </c>
      <c r="C24" s="14">
        <v>4.28</v>
      </c>
      <c r="D24" s="14">
        <v>4.82</v>
      </c>
      <c r="E24" s="14">
        <v>4.01</v>
      </c>
      <c r="F24" s="14">
        <v>4.0999999999999996</v>
      </c>
      <c r="G24" s="14">
        <v>4.08</v>
      </c>
      <c r="H24" s="14"/>
      <c r="I24" s="14"/>
      <c r="J24" s="14"/>
    </row>
    <row r="25" spans="2:10" ht="15.75" customHeight="1" x14ac:dyDescent="0.25">
      <c r="B25" s="14" t="s">
        <v>63</v>
      </c>
      <c r="C25" s="14">
        <v>4.28</v>
      </c>
      <c r="D25" s="14">
        <v>3.21</v>
      </c>
      <c r="E25" s="14"/>
      <c r="F25" s="14">
        <v>3.88</v>
      </c>
      <c r="G25" s="14">
        <v>4.29</v>
      </c>
      <c r="H25" s="14"/>
      <c r="I25" s="14"/>
      <c r="J25" s="14"/>
    </row>
    <row r="26" spans="2:10" ht="24" customHeight="1" x14ac:dyDescent="0.25">
      <c r="B26" s="14" t="s">
        <v>65</v>
      </c>
      <c r="C26" s="14">
        <v>7.09</v>
      </c>
      <c r="D26" s="14">
        <v>7.25</v>
      </c>
      <c r="E26" s="14">
        <v>6.37</v>
      </c>
      <c r="F26" s="14">
        <v>7.26</v>
      </c>
      <c r="G26" s="14">
        <v>7.96</v>
      </c>
      <c r="H26" s="14"/>
      <c r="I26" s="14"/>
      <c r="J26" s="14"/>
    </row>
    <row r="27" spans="2:10" ht="24" customHeight="1" x14ac:dyDescent="0.25">
      <c r="B27" s="14" t="s">
        <v>67</v>
      </c>
      <c r="C27" s="14">
        <v>5.5</v>
      </c>
      <c r="D27" s="14">
        <v>5.91</v>
      </c>
      <c r="E27" s="14">
        <v>5.03</v>
      </c>
      <c r="F27" s="14">
        <v>5.68</v>
      </c>
      <c r="G27" s="14">
        <v>5.84</v>
      </c>
      <c r="H27" s="14"/>
      <c r="I27" s="14"/>
      <c r="J27" s="14"/>
    </row>
    <row r="28" spans="2:10" ht="24" customHeight="1" x14ac:dyDescent="0.25">
      <c r="B28" s="14" t="s">
        <v>69</v>
      </c>
      <c r="C28" s="14">
        <v>1.6</v>
      </c>
      <c r="D28" s="14">
        <v>1.1000000000000001</v>
      </c>
      <c r="E28" s="14"/>
      <c r="F28" s="14">
        <v>1.35</v>
      </c>
      <c r="G28" s="14">
        <v>0.88</v>
      </c>
      <c r="H28" s="14"/>
      <c r="I28" s="14"/>
      <c r="J28" s="14"/>
    </row>
    <row r="29" spans="2:10" ht="15.75" customHeight="1" x14ac:dyDescent="0.25">
      <c r="B29" s="14" t="s">
        <v>71</v>
      </c>
      <c r="C29" s="14">
        <v>5.88</v>
      </c>
      <c r="D29" s="14">
        <v>6.42</v>
      </c>
      <c r="E29" s="14"/>
      <c r="F29" s="14"/>
      <c r="G29" s="14">
        <v>6.04</v>
      </c>
      <c r="H29" s="14"/>
      <c r="I29" s="14"/>
      <c r="J29" s="14"/>
    </row>
  </sheetData>
  <mergeCells count="17">
    <mergeCell ref="G3:G4"/>
    <mergeCell ref="H3:H4"/>
    <mergeCell ref="I3:I4"/>
    <mergeCell ref="J3:J4"/>
    <mergeCell ref="B19:B20"/>
    <mergeCell ref="C19:C20"/>
    <mergeCell ref="D19:D20"/>
    <mergeCell ref="E19:E20"/>
    <mergeCell ref="F19:F20"/>
    <mergeCell ref="G19:G20"/>
    <mergeCell ref="I19:I20"/>
    <mergeCell ref="J19:J20"/>
    <mergeCell ref="B3:B4"/>
    <mergeCell ref="C3:C4"/>
    <mergeCell ref="D3:D4"/>
    <mergeCell ref="E3:E4"/>
    <mergeCell ref="F3:F4"/>
  </mergeCells>
  <pageMargins left="0.7" right="0.7" top="0.75" bottom="0.7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17"/>
  <sheetViews>
    <sheetView zoomScaleNormal="100" workbookViewId="0">
      <selection activeCell="E16" sqref="E16"/>
    </sheetView>
  </sheetViews>
  <sheetFormatPr defaultColWidth="8.5703125" defaultRowHeight="15" x14ac:dyDescent="0.25"/>
  <cols>
    <col min="2" max="2" width="20" customWidth="1"/>
    <col min="3" max="3" width="12" customWidth="1"/>
    <col min="4" max="4" width="10" customWidth="1"/>
    <col min="5" max="5" width="16" customWidth="1"/>
    <col min="6" max="6" width="55" customWidth="1"/>
  </cols>
  <sheetData>
    <row r="2" spans="2:6" ht="15.75" x14ac:dyDescent="0.25">
      <c r="B2" s="17" t="s">
        <v>83</v>
      </c>
      <c r="C2" s="18"/>
      <c r="D2" s="18"/>
      <c r="E2" s="18"/>
      <c r="F2" s="18"/>
    </row>
    <row r="3" spans="2:6" x14ac:dyDescent="0.25">
      <c r="B3" s="18"/>
      <c r="C3" s="18"/>
      <c r="D3" s="18"/>
      <c r="E3" s="18"/>
      <c r="F3" s="18"/>
    </row>
    <row r="4" spans="2:6" x14ac:dyDescent="0.25"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88</v>
      </c>
    </row>
    <row r="5" spans="2:6" x14ac:dyDescent="0.25">
      <c r="B5" s="18" t="s">
        <v>89</v>
      </c>
      <c r="C5" s="18" t="s">
        <v>90</v>
      </c>
      <c r="D5" s="18" t="s">
        <v>22</v>
      </c>
      <c r="E5" s="20">
        <v>0.30480000000000002</v>
      </c>
      <c r="F5" s="18" t="s">
        <v>91</v>
      </c>
    </row>
    <row r="6" spans="2:6" x14ac:dyDescent="0.25">
      <c r="B6" s="18" t="s">
        <v>92</v>
      </c>
      <c r="C6" s="18" t="s">
        <v>93</v>
      </c>
      <c r="D6" s="18" t="s">
        <v>27</v>
      </c>
      <c r="E6" s="20">
        <v>0.45359237000000002</v>
      </c>
      <c r="F6" s="18" t="s">
        <v>94</v>
      </c>
    </row>
    <row r="7" spans="2:6" x14ac:dyDescent="0.25">
      <c r="B7" s="18" t="s">
        <v>95</v>
      </c>
      <c r="C7" s="18" t="s">
        <v>96</v>
      </c>
      <c r="D7" s="18" t="s">
        <v>39</v>
      </c>
      <c r="E7" s="20">
        <v>3.7854117839999999</v>
      </c>
      <c r="F7" s="18" t="s">
        <v>97</v>
      </c>
    </row>
    <row r="8" spans="2:6" x14ac:dyDescent="0.25">
      <c r="B8" s="18" t="s">
        <v>98</v>
      </c>
      <c r="C8" s="18" t="s">
        <v>99</v>
      </c>
      <c r="D8" s="18" t="s">
        <v>46</v>
      </c>
      <c r="E8" s="20">
        <v>0.74569987199999999</v>
      </c>
      <c r="F8" s="18" t="s">
        <v>100</v>
      </c>
    </row>
    <row r="9" spans="2:6" x14ac:dyDescent="0.25">
      <c r="B9" s="18" t="s">
        <v>101</v>
      </c>
      <c r="C9" s="18" t="s">
        <v>102</v>
      </c>
      <c r="D9" s="18" t="s">
        <v>54</v>
      </c>
      <c r="E9" s="20">
        <v>0.86897624200000001</v>
      </c>
      <c r="F9" s="18" t="s">
        <v>103</v>
      </c>
    </row>
    <row r="10" spans="2:6" x14ac:dyDescent="0.25">
      <c r="B10" s="18" t="s">
        <v>104</v>
      </c>
      <c r="C10" s="18" t="s">
        <v>105</v>
      </c>
      <c r="D10" s="18" t="s">
        <v>19</v>
      </c>
      <c r="E10" s="20">
        <f>E6/E8</f>
        <v>0.60827738750101334</v>
      </c>
      <c r="F10" s="18" t="s">
        <v>106</v>
      </c>
    </row>
    <row r="11" spans="2:6" x14ac:dyDescent="0.25">
      <c r="B11" s="18"/>
      <c r="C11" s="18"/>
      <c r="D11" s="18"/>
      <c r="E11" s="18"/>
      <c r="F11" s="18"/>
    </row>
    <row r="12" spans="2:6" x14ac:dyDescent="0.25">
      <c r="B12" s="19" t="s">
        <v>107</v>
      </c>
      <c r="C12" s="18"/>
      <c r="D12" s="18"/>
      <c r="E12" s="18"/>
      <c r="F12" s="18"/>
    </row>
    <row r="13" spans="2:6" ht="25.5" x14ac:dyDescent="0.25">
      <c r="B13" s="19" t="s">
        <v>108</v>
      </c>
      <c r="C13" s="21" t="s">
        <v>109</v>
      </c>
      <c r="D13" s="18"/>
      <c r="E13" s="18"/>
      <c r="F13" s="18"/>
    </row>
    <row r="14" spans="2:6" ht="165.75" x14ac:dyDescent="0.25">
      <c r="B14" s="19" t="s">
        <v>16</v>
      </c>
      <c r="C14" s="21" t="s">
        <v>110</v>
      </c>
      <c r="D14" s="18"/>
      <c r="E14" s="18"/>
      <c r="F14" s="18"/>
    </row>
    <row r="15" spans="2:6" ht="76.5" x14ac:dyDescent="0.25">
      <c r="B15" s="19" t="s">
        <v>111</v>
      </c>
      <c r="C15" s="21" t="s">
        <v>112</v>
      </c>
      <c r="D15" s="18"/>
      <c r="E15" s="18"/>
      <c r="F15" s="18"/>
    </row>
    <row r="16" spans="2:6" ht="89.25" x14ac:dyDescent="0.25">
      <c r="B16" s="19" t="s">
        <v>113</v>
      </c>
      <c r="C16" s="21" t="s">
        <v>114</v>
      </c>
      <c r="D16" s="18"/>
      <c r="E16" s="18"/>
      <c r="F16" s="18"/>
    </row>
    <row r="17" spans="2:6" ht="114.75" x14ac:dyDescent="0.25">
      <c r="B17" s="19" t="s">
        <v>47</v>
      </c>
      <c r="C17" s="21" t="s">
        <v>115</v>
      </c>
      <c r="D17" s="18"/>
      <c r="E17" s="18"/>
      <c r="F17" s="18"/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Métrico (SI)</vt:lpstr>
      <vt:lpstr>Imperial</vt:lpstr>
      <vt:lpstr>Fatores</vt:lpstr>
      <vt:lpstr>'Métrico (SI)'!Print_Titles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Cassio Neres</dc:creator>
  <dc:description/>
  <cp:lastModifiedBy>Cassio Neres</cp:lastModifiedBy>
  <cp:revision>0</cp:revision>
  <dcterms:created xsi:type="dcterms:W3CDTF">2026-08-05T17:57:15Z</dcterms:created>
  <dcterms:modified xsi:type="dcterms:W3CDTF">2026-08-05T18:16:17Z</dcterms:modified>
  <dc:language>en-US</dc:language>
</cp:coreProperties>
</file>